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ji Kebebasan Contoh" sheetId="1" r:id="rId4"/>
    <sheet state="visible" name="Uji Kenormalan Contoh" sheetId="2" r:id="rId5"/>
  </sheets>
  <definedNames/>
  <calcPr/>
</workbook>
</file>

<file path=xl/sharedStrings.xml><?xml version="1.0" encoding="utf-8"?>
<sst xmlns="http://schemas.openxmlformats.org/spreadsheetml/2006/main" count="64" uniqueCount="52">
  <si>
    <t>Kecukupan Tidur</t>
  </si>
  <si>
    <t>Total</t>
  </si>
  <si>
    <t>Kelebihan</t>
  </si>
  <si>
    <t>Cukup</t>
  </si>
  <si>
    <t>Kurang</t>
  </si>
  <si>
    <t>Kurang Sekali</t>
  </si>
  <si>
    <t>Kemampuan Gowes</t>
  </si>
  <si>
    <t>11 km</t>
  </si>
  <si>
    <t>15 km</t>
  </si>
  <si>
    <t>20 km</t>
  </si>
  <si>
    <t>Nama : Muhammad Rafi</t>
  </si>
  <si>
    <t>STATISTIK UJI :</t>
  </si>
  <si>
    <t xml:space="preserve">CHI-KUADRAT : </t>
  </si>
  <si>
    <t>Karena p-value = 0.9998 jauh lebih besar dari 0.01 (taraf nyata 1%), maka kita gagal menolak H0.</t>
  </si>
  <si>
    <t>Artinya, tidak terdapat bukti yang cukup untuk menyatakan bahwa kecukupan tidur mempengaruhi kekuatan gowes seseorang.</t>
  </si>
  <si>
    <t xml:space="preserve"> </t>
  </si>
  <si>
    <t>LATIHAN 2 ( KEKNYA )</t>
  </si>
  <si>
    <t>Tinggi</t>
  </si>
  <si>
    <t>Sedang</t>
  </si>
  <si>
    <t>Rendah</t>
  </si>
  <si>
    <t>Baik</t>
  </si>
  <si>
    <t>Jelek</t>
  </si>
  <si>
    <t>Nama :  Muhammad Rafi</t>
  </si>
  <si>
    <t>Expected</t>
  </si>
  <si>
    <t xml:space="preserve"> Frequency</t>
  </si>
  <si>
    <t>Karena p-value (0.0010) &lt; 0.05, maka hasil signifikan.</t>
  </si>
  <si>
    <t>Artinya, ada hubungan yang signifikan antara pendapatan dan mutu bahan makanan yang dikonsumsi.</t>
  </si>
  <si>
    <t>Hitung (O-E)2</t>
  </si>
  <si>
    <t>Chi Square Hitung</t>
  </si>
  <si>
    <t>Hitung P-Value</t>
  </si>
  <si>
    <t>LATUIHAN 3 ( HARUSNYA YA )</t>
  </si>
  <si>
    <t>Data</t>
  </si>
  <si>
    <t>Rank</t>
  </si>
  <si>
    <t>F Empiris</t>
  </si>
  <si>
    <t>z</t>
  </si>
  <si>
    <t>F Teoritis</t>
  </si>
  <si>
    <t>F Emp - F Teo</t>
  </si>
  <si>
    <t>Mean</t>
  </si>
  <si>
    <t>Nama Muhammad Rafi</t>
  </si>
  <si>
    <t>Std.dev</t>
  </si>
  <si>
    <t>D-Hitung</t>
  </si>
  <si>
    <t xml:space="preserve">Berdasarkan perbandingan nilai D maksimum (0.0457) yang lebih kecil dari D tabel (0.338), kita gagal menolak hipotesis nol. </t>
  </si>
  <si>
    <t>Oleh karena itu, dapat disimpulkan bahwa data mengikuti distribusi normal pada tingkat signifikansi 5%.</t>
  </si>
  <si>
    <t>Xi</t>
  </si>
  <si>
    <t>Ft(xi)</t>
  </si>
  <si>
    <r>
      <rPr>
        <rFont val="Calibri"/>
        <b/>
        <color theme="1"/>
        <sz val="10.0"/>
      </rPr>
      <t>F</t>
    </r>
    <r>
      <rPr>
        <rFont val="Calibri"/>
        <b/>
        <color theme="1"/>
        <sz val="10.0"/>
        <vertAlign val="subscript"/>
      </rPr>
      <t>s</t>
    </r>
    <r>
      <rPr>
        <rFont val="Calibri"/>
        <b/>
        <color theme="1"/>
        <sz val="10.0"/>
      </rPr>
      <t>(x</t>
    </r>
    <r>
      <rPr>
        <rFont val="Calibri"/>
        <b/>
        <color theme="1"/>
        <sz val="10.0"/>
        <vertAlign val="subscript"/>
      </rPr>
      <t>i</t>
    </r>
    <r>
      <rPr>
        <rFont val="Calibri"/>
        <b/>
        <color theme="1"/>
        <sz val="10.0"/>
      </rPr>
      <t>)</t>
    </r>
  </si>
  <si>
    <t>| Ft(xi) - Fs(xi) |</t>
  </si>
  <si>
    <t xml:space="preserve">Nilai Max </t>
  </si>
  <si>
    <t>Kesimpulan : karena 0.1872&lt; 0.338, maka terima Ho dan simpulkan bahwa data berdistribusi normal.</t>
  </si>
  <si>
    <t>Nama : Kharisma Maulida Saara</t>
  </si>
  <si>
    <t xml:space="preserve">Average : </t>
  </si>
  <si>
    <t xml:space="preserve">Stdev :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</si>
</sst>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0"/>
  </numFmts>
  <fonts count="8">
    <font>
      <sz val="11.0"/>
      <color theme="1"/>
      <name val="Calibri"/>
      <scheme val="minor"/>
    </font>
    <font>
      <sz val="11.0"/>
      <color theme="1"/>
      <name val="Calibri"/>
    </font>
    <font/>
    <font>
      <color theme="1"/>
      <name val="Calibri"/>
      <scheme val="minor"/>
    </font>
    <font>
      <b/>
      <color theme="1"/>
      <name val="Calibri"/>
      <scheme val="minor"/>
    </font>
    <font>
      <color rgb="FF1B1C1D"/>
      <name val="Calibri"/>
      <scheme val="minor"/>
    </font>
    <font>
      <b/>
      <sz val="10.0"/>
      <color theme="1"/>
      <name val="Calibri"/>
    </font>
    <font>
      <sz val="10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7">
    <border/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284E3F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4" fillId="0" fontId="1" numFmtId="0" xfId="0" applyAlignment="1" applyBorder="1" applyFont="1">
      <alignment horizontal="center" vertical="center"/>
    </xf>
    <xf borderId="5" fillId="0" fontId="2" numFmtId="0" xfId="0" applyBorder="1" applyFont="1"/>
    <xf borderId="6" fillId="0" fontId="2" numFmtId="0" xfId="0" applyBorder="1" applyFont="1"/>
    <xf borderId="7" fillId="0" fontId="1" numFmtId="0" xfId="0" applyAlignment="1" applyBorder="1" applyFont="1">
      <alignment horizontal="center" vertical="center"/>
    </xf>
    <xf borderId="8" fillId="0" fontId="1" numFmtId="0" xfId="0" applyAlignment="1" applyBorder="1" applyFont="1">
      <alignment horizontal="center" vertical="center"/>
    </xf>
    <xf borderId="9" fillId="0" fontId="1" numFmtId="0" xfId="0" applyAlignment="1" applyBorder="1" applyFont="1">
      <alignment horizontal="center" vertical="center"/>
    </xf>
    <xf borderId="10" fillId="0" fontId="2" numFmtId="0" xfId="0" applyBorder="1" applyFont="1"/>
    <xf borderId="0" fillId="0" fontId="3" numFmtId="0" xfId="0" applyAlignment="1" applyFont="1">
      <alignment readingOrder="0"/>
    </xf>
    <xf borderId="1" fillId="0" fontId="1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horizontal="center" readingOrder="0" vertical="center"/>
    </xf>
    <xf borderId="0" fillId="0" fontId="1" numFmtId="0" xfId="0" applyAlignment="1" applyFont="1">
      <alignment horizontal="center" vertical="center"/>
    </xf>
    <xf borderId="11" fillId="0" fontId="2" numFmtId="0" xfId="0" applyBorder="1" applyFont="1"/>
    <xf borderId="10" fillId="0" fontId="1" numFmtId="0" xfId="0" applyAlignment="1" applyBorder="1" applyFont="1">
      <alignment horizontal="center" vertical="center"/>
    </xf>
    <xf borderId="12" fillId="0" fontId="1" numFmtId="0" xfId="0" applyAlignment="1" applyBorder="1" applyFont="1">
      <alignment horizontal="center" vertical="center"/>
    </xf>
    <xf borderId="13" fillId="0" fontId="1" numFmtId="0" xfId="0" applyAlignment="1" applyBorder="1" applyFont="1">
      <alignment horizontal="center" vertical="center"/>
    </xf>
    <xf borderId="9" fillId="0" fontId="2" numFmtId="0" xfId="0" applyBorder="1" applyFont="1"/>
    <xf borderId="0" fillId="0" fontId="3" numFmtId="0" xfId="0" applyFont="1"/>
    <xf borderId="0" fillId="0" fontId="4" numFmtId="0" xfId="0" applyAlignment="1" applyFont="1">
      <alignment horizontal="center"/>
    </xf>
    <xf borderId="0" fillId="0" fontId="4" numFmtId="0" xfId="0" applyAlignment="1" applyFont="1">
      <alignment horizontal="center" readingOrder="0"/>
    </xf>
    <xf borderId="0" fillId="0" fontId="3" numFmtId="0" xfId="0" applyAlignment="1" applyFont="1">
      <alignment horizontal="center" readingOrder="0"/>
    </xf>
    <xf borderId="0" fillId="0" fontId="1" numFmtId="0" xfId="0" applyAlignment="1" applyFont="1">
      <alignment horizontal="right" vertical="bottom"/>
    </xf>
    <xf borderId="0" fillId="0" fontId="4" numFmtId="0" xfId="0" applyAlignment="1" applyFont="1">
      <alignment horizontal="center"/>
    </xf>
    <xf borderId="14" fillId="0" fontId="3" numFmtId="0" xfId="0" applyAlignment="1" applyBorder="1" applyFont="1">
      <alignment horizontal="center" readingOrder="0" shrinkToFit="0" vertical="center" wrapText="0"/>
    </xf>
    <xf borderId="15" fillId="0" fontId="3" numFmtId="0" xfId="0" applyAlignment="1" applyBorder="1" applyFont="1">
      <alignment horizontal="center" readingOrder="0" shrinkToFit="0" vertical="center" wrapText="0"/>
    </xf>
    <xf borderId="15" fillId="0" fontId="3" numFmtId="0" xfId="0" applyAlignment="1" applyBorder="1" applyFont="1">
      <alignment horizontal="left" readingOrder="0" shrinkToFit="0" vertical="center" wrapText="0"/>
    </xf>
    <xf borderId="16" fillId="0" fontId="3" numFmtId="0" xfId="0" applyAlignment="1" applyBorder="1" applyFont="1">
      <alignment horizontal="left" readingOrder="0" shrinkToFit="0" vertical="center" wrapText="0"/>
    </xf>
    <xf borderId="17" fillId="0" fontId="3" numFmtId="0" xfId="0" applyAlignment="1" applyBorder="1" applyFont="1">
      <alignment horizontal="center" readingOrder="0" shrinkToFit="0" vertical="center" wrapText="0"/>
    </xf>
    <xf borderId="18" fillId="0" fontId="3" numFmtId="0" xfId="0" applyAlignment="1" applyBorder="1" applyFont="1">
      <alignment horizontal="center" shrinkToFit="0" vertical="center" wrapText="0"/>
    </xf>
    <xf borderId="18" fillId="0" fontId="3" numFmtId="0" xfId="0" applyAlignment="1" applyBorder="1" applyFont="1">
      <alignment shrinkToFit="0" vertical="center" wrapText="0"/>
    </xf>
    <xf borderId="19" fillId="0" fontId="3" numFmtId="0" xfId="0" applyAlignment="1" applyBorder="1" applyFont="1">
      <alignment shrinkToFit="0" vertical="center" wrapText="0"/>
    </xf>
    <xf borderId="0" fillId="0" fontId="3" numFmtId="0" xfId="0" applyFont="1"/>
    <xf borderId="20" fillId="0" fontId="3" numFmtId="0" xfId="0" applyAlignment="1" applyBorder="1" applyFont="1">
      <alignment horizontal="center" readingOrder="0" shrinkToFit="0" vertical="center" wrapText="0"/>
    </xf>
    <xf borderId="21" fillId="0" fontId="3" numFmtId="0" xfId="0" applyAlignment="1" applyBorder="1" applyFont="1">
      <alignment horizontal="center" shrinkToFit="0" vertical="center" wrapText="0"/>
    </xf>
    <xf borderId="21" fillId="0" fontId="3" numFmtId="0" xfId="0" applyAlignment="1" applyBorder="1" applyFont="1">
      <alignment shrinkToFit="0" vertical="center" wrapText="0"/>
    </xf>
    <xf borderId="22" fillId="0" fontId="3" numFmtId="0" xfId="0" applyAlignment="1" applyBorder="1" applyFont="1">
      <alignment shrinkToFit="0" vertical="center" wrapText="0"/>
    </xf>
    <xf borderId="19" fillId="0" fontId="3" numFmtId="3" xfId="0" applyAlignment="1" applyBorder="1" applyFont="1" applyNumberFormat="1">
      <alignment readingOrder="0" shrinkToFit="0" vertical="center" wrapText="0"/>
    </xf>
    <xf borderId="22" fillId="0" fontId="3" numFmtId="0" xfId="0" applyAlignment="1" applyBorder="1" applyFont="1">
      <alignment shrinkToFit="0" vertical="center" wrapText="0"/>
    </xf>
    <xf borderId="0" fillId="0" fontId="5" numFmtId="0" xfId="0" applyAlignment="1" applyFont="1">
      <alignment readingOrder="0"/>
    </xf>
    <xf borderId="19" fillId="0" fontId="3" numFmtId="0" xfId="0" applyAlignment="1" applyBorder="1" applyFont="1">
      <alignment shrinkToFit="0" vertical="center" wrapText="0"/>
    </xf>
    <xf borderId="23" fillId="0" fontId="3" numFmtId="0" xfId="0" applyAlignment="1" applyBorder="1" applyFont="1">
      <alignment horizontal="center" readingOrder="0" shrinkToFit="0" vertical="center" wrapText="0"/>
    </xf>
    <xf borderId="24" fillId="0" fontId="3" numFmtId="0" xfId="0" applyAlignment="1" applyBorder="1" applyFont="1">
      <alignment horizontal="center" shrinkToFit="0" vertical="center" wrapText="0"/>
    </xf>
    <xf borderId="24" fillId="0" fontId="3" numFmtId="0" xfId="0" applyAlignment="1" applyBorder="1" applyFont="1">
      <alignment shrinkToFit="0" vertical="center" wrapText="0"/>
    </xf>
    <xf borderId="25" fillId="0" fontId="3" numFmtId="0" xfId="0" applyAlignment="1" applyBorder="1" applyFont="1">
      <alignment shrinkToFit="0" vertical="center" wrapText="0"/>
    </xf>
    <xf borderId="0" fillId="0" fontId="3" numFmtId="0" xfId="0" applyAlignment="1" applyFont="1">
      <alignment horizontal="center"/>
    </xf>
    <xf borderId="12" fillId="2" fontId="6" numFmtId="0" xfId="0" applyAlignment="1" applyBorder="1" applyFill="1" applyFont="1">
      <alignment horizontal="center" vertical="center"/>
    </xf>
    <xf borderId="12" fillId="2" fontId="6" numFmtId="0" xfId="0" applyAlignment="1" applyBorder="1" applyFont="1">
      <alignment horizontal="center"/>
    </xf>
    <xf borderId="12" fillId="2" fontId="6" numFmtId="164" xfId="0" applyAlignment="1" applyBorder="1" applyFont="1" applyNumberFormat="1">
      <alignment horizontal="center" vertical="center"/>
    </xf>
    <xf borderId="26" fillId="2" fontId="6" numFmtId="164" xfId="0" applyAlignment="1" applyBorder="1" applyFont="1" applyNumberFormat="1">
      <alignment horizontal="center"/>
    </xf>
    <xf borderId="0" fillId="0" fontId="7" numFmtId="0" xfId="0" applyAlignment="1" applyFont="1">
      <alignment horizontal="center" vertical="center"/>
    </xf>
    <xf borderId="0" fillId="0" fontId="7" numFmtId="0" xfId="0" applyFont="1"/>
    <xf borderId="12" fillId="0" fontId="7" numFmtId="0" xfId="0" applyAlignment="1" applyBorder="1" applyFont="1">
      <alignment horizontal="center" vertical="center"/>
    </xf>
    <xf borderId="12" fillId="0" fontId="1" numFmtId="2" xfId="0" applyAlignment="1" applyBorder="1" applyFont="1" applyNumberFormat="1">
      <alignment horizontal="center"/>
    </xf>
    <xf borderId="12" fillId="0" fontId="1" numFmtId="164" xfId="0" applyAlignment="1" applyBorder="1" applyFont="1" applyNumberFormat="1">
      <alignment horizontal="center"/>
    </xf>
    <xf borderId="12" fillId="0" fontId="7" numFmtId="164" xfId="0" applyAlignment="1" applyBorder="1" applyFont="1" applyNumberFormat="1">
      <alignment horizontal="center" vertical="center"/>
    </xf>
    <xf borderId="9" fillId="0" fontId="7" numFmtId="164" xfId="0" applyBorder="1" applyFont="1" applyNumberFormat="1"/>
    <xf borderId="0" fillId="0" fontId="7" numFmtId="0" xfId="0" applyAlignment="1" applyFont="1">
      <alignment horizontal="left" vertical="center"/>
    </xf>
    <xf borderId="0" fillId="0" fontId="7" numFmtId="2" xfId="0" applyAlignment="1" applyFont="1" applyNumberFormat="1">
      <alignment horizontal="center" vertical="center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1">
    <tableStyle count="3" pivot="0" name="Uji Kebebasan Contoh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44:F59" displayName="Table1" name="Table1" id="1">
  <tableColumns count="6">
    <tableColumn name="Data" id="1"/>
    <tableColumn name="Rank" id="2"/>
    <tableColumn name="F Empiris" id="3"/>
    <tableColumn name="z" id="4"/>
    <tableColumn name="F Teoritis" id="5"/>
    <tableColumn name="F Emp - F Teo" id="6"/>
  </tableColumns>
  <tableStyleInfo name="Uji Kebebasan Contoh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29"/>
    <col customWidth="1" min="2" max="2" width="14.71"/>
    <col customWidth="1" min="3" max="3" width="18.71"/>
    <col customWidth="1" min="4" max="4" width="16.71"/>
    <col customWidth="1" min="5" max="5" width="18.57"/>
    <col customWidth="1" min="6" max="6" width="22.57"/>
    <col customWidth="1" min="7" max="26" width="8.71"/>
  </cols>
  <sheetData>
    <row r="1" ht="14.25" customHeight="1">
      <c r="A1" s="1"/>
      <c r="B1" s="2"/>
      <c r="C1" s="1" t="s">
        <v>0</v>
      </c>
      <c r="D1" s="3"/>
      <c r="E1" s="3"/>
      <c r="F1" s="3"/>
      <c r="G1" s="3"/>
      <c r="H1" s="3"/>
      <c r="I1" s="3"/>
      <c r="J1" s="2"/>
      <c r="K1" s="4" t="s">
        <v>1</v>
      </c>
    </row>
    <row r="2" ht="14.25" customHeight="1">
      <c r="A2" s="5"/>
      <c r="B2" s="6"/>
      <c r="C2" s="7" t="s">
        <v>2</v>
      </c>
      <c r="D2" s="8"/>
      <c r="E2" s="8" t="s">
        <v>3</v>
      </c>
      <c r="F2" s="8"/>
      <c r="G2" s="8" t="s">
        <v>4</v>
      </c>
      <c r="H2" s="8"/>
      <c r="I2" s="8" t="s">
        <v>5</v>
      </c>
      <c r="J2" s="9"/>
      <c r="K2" s="10"/>
      <c r="N2" s="11" t="s">
        <v>2</v>
      </c>
      <c r="O2" s="11" t="s">
        <v>3</v>
      </c>
      <c r="P2" s="11" t="s">
        <v>4</v>
      </c>
      <c r="Q2" s="11" t="s">
        <v>5</v>
      </c>
    </row>
    <row r="3" ht="14.25" customHeight="1">
      <c r="A3" s="12" t="s">
        <v>6</v>
      </c>
      <c r="B3" s="4" t="s">
        <v>7</v>
      </c>
      <c r="C3" s="13">
        <v>8.0</v>
      </c>
      <c r="D3" s="14"/>
      <c r="E3" s="13">
        <v>22.0</v>
      </c>
      <c r="F3" s="14"/>
      <c r="G3" s="14">
        <v>15.0</v>
      </c>
      <c r="H3" s="14"/>
      <c r="I3" s="14">
        <v>5.0</v>
      </c>
      <c r="J3" s="14"/>
      <c r="K3" s="4">
        <f>SUM(C3:I3)</f>
        <v>50</v>
      </c>
      <c r="M3" s="11" t="s">
        <v>7</v>
      </c>
      <c r="N3" s="11">
        <v>9.0</v>
      </c>
      <c r="O3" s="11">
        <v>22.0</v>
      </c>
      <c r="P3" s="11">
        <v>15.0</v>
      </c>
      <c r="Q3" s="11">
        <v>5.0</v>
      </c>
    </row>
    <row r="4" ht="14.25" customHeight="1">
      <c r="A4" s="15"/>
      <c r="B4" s="16"/>
      <c r="C4" s="14"/>
      <c r="D4" s="17">
        <f>C9*K3/K9</f>
        <v>8.108108108</v>
      </c>
      <c r="E4" s="14"/>
      <c r="F4" s="17">
        <f>E9*K3/K9</f>
        <v>21.62162162</v>
      </c>
      <c r="G4" s="14"/>
      <c r="H4" s="17">
        <f>G9*K3/K9</f>
        <v>14.86486486</v>
      </c>
      <c r="I4" s="14"/>
      <c r="J4" s="7">
        <f>I9*K3/K9</f>
        <v>5.405405405</v>
      </c>
      <c r="K4" s="16"/>
      <c r="M4" s="11" t="s">
        <v>8</v>
      </c>
      <c r="N4" s="11">
        <v>10.0</v>
      </c>
      <c r="O4" s="11">
        <v>28.0</v>
      </c>
      <c r="P4" s="11">
        <v>20.0</v>
      </c>
      <c r="Q4" s="11">
        <v>7.0</v>
      </c>
    </row>
    <row r="5" ht="14.25" customHeight="1">
      <c r="A5" s="15"/>
      <c r="B5" s="16" t="s">
        <v>8</v>
      </c>
      <c r="C5" s="14">
        <v>10.0</v>
      </c>
      <c r="D5" s="14"/>
      <c r="E5" s="13">
        <v>28.0</v>
      </c>
      <c r="F5" s="14"/>
      <c r="G5" s="14">
        <v>20.0</v>
      </c>
      <c r="H5" s="14"/>
      <c r="I5" s="14">
        <v>7.0</v>
      </c>
      <c r="J5" s="14"/>
      <c r="K5" s="16">
        <f>SUM(C5:I5)</f>
        <v>65</v>
      </c>
      <c r="M5" s="11" t="s">
        <v>9</v>
      </c>
      <c r="N5" s="11">
        <v>12.0</v>
      </c>
      <c r="O5" s="11">
        <v>30.0</v>
      </c>
      <c r="P5" s="11">
        <v>20.0</v>
      </c>
      <c r="Q5" s="11">
        <v>8.0</v>
      </c>
    </row>
    <row r="6" ht="14.25" customHeight="1">
      <c r="A6" s="15"/>
      <c r="B6" s="16"/>
      <c r="C6" s="14"/>
      <c r="D6" s="17">
        <f>C9*K5/K9</f>
        <v>10.54054054</v>
      </c>
      <c r="E6" s="14"/>
      <c r="F6" s="17">
        <f>E9*K5/K9</f>
        <v>28.10810811</v>
      </c>
      <c r="G6" s="14"/>
      <c r="H6" s="17">
        <f>G9*K5/K9</f>
        <v>19.32432432</v>
      </c>
      <c r="I6" s="14"/>
      <c r="J6" s="7">
        <f>I9*K5/K9</f>
        <v>7.027027027</v>
      </c>
      <c r="K6" s="16"/>
    </row>
    <row r="7" ht="14.25" customHeight="1">
      <c r="A7" s="15"/>
      <c r="B7" s="16" t="s">
        <v>9</v>
      </c>
      <c r="C7" s="14">
        <v>12.0</v>
      </c>
      <c r="D7" s="14"/>
      <c r="E7" s="14">
        <v>30.0</v>
      </c>
      <c r="F7" s="14"/>
      <c r="G7" s="13">
        <v>20.0</v>
      </c>
      <c r="H7" s="14"/>
      <c r="I7" s="13">
        <v>8.0</v>
      </c>
      <c r="J7" s="14"/>
      <c r="K7" s="16">
        <f>SUM(C7:I7)</f>
        <v>70</v>
      </c>
    </row>
    <row r="8" ht="14.25" customHeight="1">
      <c r="A8" s="15"/>
      <c r="B8" s="18"/>
      <c r="C8" s="14"/>
      <c r="D8" s="4">
        <f>C9*K7/K9</f>
        <v>11.35135135</v>
      </c>
      <c r="E8" s="14"/>
      <c r="F8" s="4">
        <f>E9*K7/K9</f>
        <v>30.27027027</v>
      </c>
      <c r="G8" s="14"/>
      <c r="H8" s="4">
        <f>G9*K7/K9</f>
        <v>20.81081081</v>
      </c>
      <c r="I8" s="14"/>
      <c r="J8" s="1">
        <f>I9*K7/K9</f>
        <v>7.567567568</v>
      </c>
      <c r="K8" s="18"/>
    </row>
    <row r="9" ht="14.25" customHeight="1">
      <c r="A9" s="7" t="s">
        <v>1</v>
      </c>
      <c r="B9" s="19"/>
      <c r="C9" s="8">
        <f>SUM(C3:C8)</f>
        <v>30</v>
      </c>
      <c r="D9" s="8"/>
      <c r="E9" s="8">
        <f>SUM(E3:E8)</f>
        <v>80</v>
      </c>
      <c r="F9" s="8"/>
      <c r="G9" s="8">
        <f>SUM(G3:G8)</f>
        <v>55</v>
      </c>
      <c r="H9" s="8"/>
      <c r="I9" s="8">
        <f>SUM(I3:I8)</f>
        <v>20</v>
      </c>
      <c r="J9" s="8"/>
      <c r="K9" s="18">
        <f>SUM(K3:K7)</f>
        <v>185</v>
      </c>
    </row>
    <row r="10" ht="14.25" customHeight="1"/>
    <row r="11" ht="14.25" customHeight="1">
      <c r="M11" s="11" t="s">
        <v>10</v>
      </c>
    </row>
    <row r="12" ht="14.25" customHeight="1">
      <c r="A12" s="20" t="s">
        <v>11</v>
      </c>
    </row>
    <row r="13" ht="14.25" customHeight="1">
      <c r="A13" s="20" t="s">
        <v>12</v>
      </c>
      <c r="B13" s="20">
        <f>((C3-D4)^2/D4)+((C5-D6)^2/D6)+((C7-D8)^2/D8)+((E3-F4)^2/F4)+((E5-F6)^2/F6)+((E7-F8)^2/F8)+((G3-H4)^2/H4)+((G5-H6)^2/H6)+((G7-H8)^2/H8)+((I3-J4)^2/J4)+((I5-J6)^2/J6)+((I7-J8)^2/J8)</f>
        <v>0.1873409923</v>
      </c>
      <c r="K13" s="11" t="s">
        <v>13</v>
      </c>
    </row>
    <row r="14" ht="14.25" customHeight="1">
      <c r="K14" s="11" t="s">
        <v>14</v>
      </c>
    </row>
    <row r="15" ht="14.25" customHeight="1"/>
    <row r="16" ht="14.25" customHeight="1">
      <c r="D16" s="20" t="s">
        <v>15</v>
      </c>
    </row>
    <row r="17" ht="14.25" customHeight="1"/>
    <row r="18" ht="14.25" customHeight="1">
      <c r="A18" s="11" t="s">
        <v>16</v>
      </c>
    </row>
    <row r="19" ht="14.25" customHeight="1"/>
    <row r="20" ht="14.25" customHeight="1"/>
    <row r="21" ht="14.25" customHeight="1"/>
    <row r="22" ht="14.25" customHeight="1">
      <c r="A22" s="21"/>
      <c r="B22" s="22" t="s">
        <v>17</v>
      </c>
      <c r="C22" s="22" t="s">
        <v>18</v>
      </c>
      <c r="D22" s="22" t="s">
        <v>19</v>
      </c>
      <c r="E22" s="22" t="s">
        <v>1</v>
      </c>
    </row>
    <row r="23" ht="14.25" customHeight="1">
      <c r="A23" s="11" t="s">
        <v>20</v>
      </c>
      <c r="B23" s="11">
        <v>14.0</v>
      </c>
      <c r="C23" s="11">
        <v>6.0</v>
      </c>
      <c r="D23" s="11">
        <v>9.0</v>
      </c>
      <c r="E23" s="11">
        <v>29.0</v>
      </c>
    </row>
    <row r="24" ht="14.25" customHeight="1">
      <c r="A24" s="11" t="s">
        <v>3</v>
      </c>
      <c r="B24" s="11">
        <v>10.0</v>
      </c>
      <c r="C24" s="11">
        <v>16.0</v>
      </c>
      <c r="D24" s="11">
        <v>10.0</v>
      </c>
      <c r="E24" s="11">
        <v>36.0</v>
      </c>
    </row>
    <row r="25" ht="14.25" customHeight="1">
      <c r="A25" s="11" t="s">
        <v>21</v>
      </c>
      <c r="B25" s="11">
        <v>2.0</v>
      </c>
      <c r="C25" s="11">
        <v>13.0</v>
      </c>
      <c r="D25" s="11">
        <v>20.0</v>
      </c>
      <c r="E25" s="11">
        <v>35.0</v>
      </c>
    </row>
    <row r="26" ht="14.25" customHeight="1">
      <c r="A26" s="11" t="s">
        <v>1</v>
      </c>
      <c r="B26" s="11">
        <v>26.0</v>
      </c>
      <c r="C26" s="11">
        <v>35.0</v>
      </c>
      <c r="D26" s="11">
        <v>39.0</v>
      </c>
      <c r="E26" s="11">
        <v>100.0</v>
      </c>
      <c r="I26" s="11" t="s">
        <v>22</v>
      </c>
    </row>
    <row r="27" ht="14.25" customHeight="1"/>
    <row r="28" ht="14.25" customHeight="1"/>
    <row r="29" ht="14.25" customHeight="1">
      <c r="A29" s="23" t="s">
        <v>23</v>
      </c>
      <c r="B29" s="24">
        <f>E23*B26/E26</f>
        <v>7.54</v>
      </c>
      <c r="C29" s="24">
        <f>E23*C26/E26</f>
        <v>10.15</v>
      </c>
      <c r="D29" s="24">
        <f>E23*D26/E26</f>
        <v>11.31</v>
      </c>
    </row>
    <row r="30" ht="14.25" customHeight="1">
      <c r="A30" s="23" t="s">
        <v>24</v>
      </c>
      <c r="B30" s="24">
        <f>E24*B26/E26</f>
        <v>9.36</v>
      </c>
      <c r="C30" s="24">
        <f>E24*C26/E26</f>
        <v>12.6</v>
      </c>
      <c r="D30" s="24">
        <f>E24*D26/E26</f>
        <v>14.04</v>
      </c>
      <c r="J30" s="25"/>
      <c r="K30" s="22"/>
      <c r="L30" s="22"/>
      <c r="M30" s="22"/>
      <c r="P30" s="25"/>
      <c r="Q30" s="22"/>
      <c r="R30" s="22"/>
      <c r="S30" s="22"/>
    </row>
    <row r="31" ht="14.25" customHeight="1">
      <c r="B31" s="24">
        <f>E25*B26/E26</f>
        <v>9.1</v>
      </c>
      <c r="C31" s="24">
        <f>E25*C26/E26</f>
        <v>12.25</v>
      </c>
      <c r="D31" s="24">
        <f>E25*D26/E26</f>
        <v>13.65</v>
      </c>
    </row>
    <row r="32" ht="14.25" customHeight="1">
      <c r="I32" s="11" t="s">
        <v>25</v>
      </c>
    </row>
    <row r="33" ht="14.25" customHeight="1">
      <c r="I33" s="11" t="s">
        <v>26</v>
      </c>
    </row>
    <row r="34" ht="14.25" customHeight="1">
      <c r="A34" s="11" t="s">
        <v>27</v>
      </c>
      <c r="B34" s="20">
        <f t="shared" ref="B34:D34" si="1">(B23-B29)^2/B29</f>
        <v>5.53469496</v>
      </c>
      <c r="C34" s="20">
        <f t="shared" si="1"/>
        <v>1.69679803</v>
      </c>
      <c r="D34" s="20">
        <f t="shared" si="1"/>
        <v>0.4718037135</v>
      </c>
    </row>
    <row r="35" ht="14.25" customHeight="1">
      <c r="B35" s="20">
        <f t="shared" ref="B35:D35" si="2">(B24-B30)^2/B30</f>
        <v>0.04376068376</v>
      </c>
      <c r="C35" s="20">
        <f t="shared" si="2"/>
        <v>0.9174603175</v>
      </c>
      <c r="D35" s="20">
        <f t="shared" si="2"/>
        <v>1.162507123</v>
      </c>
    </row>
    <row r="36" ht="14.25" customHeight="1">
      <c r="B36" s="20">
        <f t="shared" ref="B36:D36" si="3">(B25-B31)^2/B31</f>
        <v>5.53956044</v>
      </c>
      <c r="C36" s="20">
        <f t="shared" si="3"/>
        <v>0.04591836735</v>
      </c>
      <c r="D36" s="20">
        <f t="shared" si="3"/>
        <v>2.954029304</v>
      </c>
    </row>
    <row r="37" ht="14.25" customHeight="1"/>
    <row r="38" ht="14.25" customHeight="1">
      <c r="C38" s="11" t="s">
        <v>28</v>
      </c>
      <c r="E38" s="20">
        <f>SUM(B34:D36)</f>
        <v>18.36653294</v>
      </c>
    </row>
    <row r="39" ht="14.25" customHeight="1">
      <c r="C39" s="11" t="s">
        <v>29</v>
      </c>
      <c r="E39" s="20">
        <f>_xlfn.CHISQ.DIST.RT(E38, 4)</f>
        <v>0.00104627333</v>
      </c>
    </row>
    <row r="40" ht="14.25" customHeight="1"/>
    <row r="41" ht="14.25" customHeight="1"/>
    <row r="42" ht="14.25" customHeight="1">
      <c r="A42" s="11" t="s">
        <v>30</v>
      </c>
    </row>
    <row r="43" ht="14.25" customHeight="1"/>
    <row r="44" ht="14.25" customHeight="1">
      <c r="A44" s="26" t="s">
        <v>31</v>
      </c>
      <c r="B44" s="27" t="s">
        <v>32</v>
      </c>
      <c r="C44" s="27" t="s">
        <v>33</v>
      </c>
      <c r="D44" s="27" t="s">
        <v>34</v>
      </c>
      <c r="E44" s="28" t="s">
        <v>35</v>
      </c>
      <c r="F44" s="29" t="s">
        <v>36</v>
      </c>
    </row>
    <row r="45" ht="14.25" customHeight="1">
      <c r="A45" s="30">
        <v>8.0</v>
      </c>
      <c r="B45" s="31">
        <f t="shared" ref="B45:B59" si="4">ROW()-45</f>
        <v>0</v>
      </c>
      <c r="C45" s="31">
        <f t="shared" ref="C45:C59" si="5">B46/15</f>
        <v>0.06666666667</v>
      </c>
      <c r="D45" s="31">
        <f t="shared" ref="D45:D59" si="6">(A45-H45)/$H$46</f>
        <v>-1.214175707</v>
      </c>
      <c r="E45" s="32">
        <f t="shared" ref="E45:E59" si="7">_xlfn.NORM.S.DIST(D45)</f>
        <v>0.1123403176</v>
      </c>
      <c r="F45" s="33">
        <f t="shared" ref="F45:F46" si="8">C45 - E45</f>
        <v>-0.04567365089</v>
      </c>
      <c r="G45" s="11" t="s">
        <v>37</v>
      </c>
      <c r="H45" s="34">
        <f>AVERAGE(A45:A60)</f>
        <v>37.93333333</v>
      </c>
      <c r="J45" s="11" t="s">
        <v>38</v>
      </c>
    </row>
    <row r="46" ht="14.25" customHeight="1">
      <c r="A46" s="35">
        <v>11.0</v>
      </c>
      <c r="B46" s="36">
        <f t="shared" si="4"/>
        <v>1</v>
      </c>
      <c r="C46" s="36">
        <f t="shared" si="5"/>
        <v>0.1333333333</v>
      </c>
      <c r="D46" s="36">
        <f t="shared" si="6"/>
        <v>-0.5538107091</v>
      </c>
      <c r="E46" s="37">
        <f t="shared" si="7"/>
        <v>0.2898541992</v>
      </c>
      <c r="F46" s="38">
        <f t="shared" si="8"/>
        <v>-0.1565208659</v>
      </c>
      <c r="G46" s="11" t="s">
        <v>39</v>
      </c>
      <c r="H46" s="20">
        <f>_xlfn.STDEV.S(A45:A60)</f>
        <v>24.65321383</v>
      </c>
    </row>
    <row r="47" ht="14.25" customHeight="1">
      <c r="A47" s="30">
        <v>12.0</v>
      </c>
      <c r="B47" s="31">
        <f t="shared" si="4"/>
        <v>2</v>
      </c>
      <c r="C47" s="31">
        <f t="shared" si="5"/>
        <v>0.2</v>
      </c>
      <c r="D47" s="31">
        <f t="shared" si="6"/>
        <v>0.4848993088</v>
      </c>
      <c r="E47" s="32">
        <f t="shared" si="7"/>
        <v>0.6861261136</v>
      </c>
      <c r="F47" s="39">
        <v>-4.903819621E9</v>
      </c>
      <c r="G47" s="11" t="s">
        <v>40</v>
      </c>
      <c r="H47" s="20">
        <f>ABS(MAX(F45:F60))
</f>
        <v>0.04567365089</v>
      </c>
    </row>
    <row r="48" ht="14.25" customHeight="1">
      <c r="A48" s="35">
        <v>22.0</v>
      </c>
      <c r="B48" s="36">
        <f t="shared" si="4"/>
        <v>3</v>
      </c>
      <c r="C48" s="36">
        <f t="shared" si="5"/>
        <v>0.2666666667</v>
      </c>
      <c r="D48" s="36">
        <f t="shared" si="6"/>
        <v>0.8923785819</v>
      </c>
      <c r="E48" s="37">
        <f t="shared" si="7"/>
        <v>0.8139049764</v>
      </c>
      <c r="F48" s="40">
        <f t="shared" ref="F48:F59" si="9">C48 - E48</f>
        <v>-0.5472383097</v>
      </c>
      <c r="J48" s="41" t="s">
        <v>41</v>
      </c>
    </row>
    <row r="49" ht="14.25" customHeight="1">
      <c r="A49" s="30">
        <v>24.0</v>
      </c>
      <c r="B49" s="31">
        <f t="shared" si="4"/>
        <v>4</v>
      </c>
      <c r="C49" s="31">
        <f t="shared" si="5"/>
        <v>0.3333333333</v>
      </c>
      <c r="D49" s="31">
        <f t="shared" si="6"/>
        <v>0.9735039075</v>
      </c>
      <c r="E49" s="32">
        <f t="shared" si="7"/>
        <v>0.8348485404</v>
      </c>
      <c r="F49" s="42">
        <f t="shared" si="9"/>
        <v>-0.5015152071</v>
      </c>
      <c r="J49" s="11" t="s">
        <v>42</v>
      </c>
    </row>
    <row r="50" ht="14.25" customHeight="1">
      <c r="A50" s="35">
        <v>25.0</v>
      </c>
      <c r="B50" s="36">
        <f t="shared" si="4"/>
        <v>5</v>
      </c>
      <c r="C50" s="36">
        <f t="shared" si="5"/>
        <v>0.4</v>
      </c>
      <c r="D50" s="36">
        <f t="shared" si="6"/>
        <v>1.01406657</v>
      </c>
      <c r="E50" s="37">
        <f t="shared" si="7"/>
        <v>0.8447245059</v>
      </c>
      <c r="F50" s="40">
        <f t="shared" si="9"/>
        <v>-0.4447245059</v>
      </c>
    </row>
    <row r="51" ht="14.25" customHeight="1">
      <c r="A51" s="30">
        <v>33.0</v>
      </c>
      <c r="B51" s="31">
        <f t="shared" si="4"/>
        <v>6</v>
      </c>
      <c r="C51" s="31">
        <f t="shared" si="5"/>
        <v>0.4666666667</v>
      </c>
      <c r="D51" s="31">
        <f t="shared" si="6"/>
        <v>1.338567873</v>
      </c>
      <c r="E51" s="32">
        <f t="shared" si="7"/>
        <v>0.9096443046</v>
      </c>
      <c r="F51" s="42">
        <f t="shared" si="9"/>
        <v>-0.4429776379</v>
      </c>
    </row>
    <row r="52" ht="14.25" customHeight="1">
      <c r="A52" s="35">
        <v>34.0</v>
      </c>
      <c r="B52" s="36">
        <f t="shared" si="4"/>
        <v>7</v>
      </c>
      <c r="C52" s="36">
        <f t="shared" si="5"/>
        <v>0.5333333333</v>
      </c>
      <c r="D52" s="36">
        <f t="shared" si="6"/>
        <v>1.379130536</v>
      </c>
      <c r="E52" s="37">
        <f t="shared" si="7"/>
        <v>0.9160727447</v>
      </c>
      <c r="F52" s="40">
        <f t="shared" si="9"/>
        <v>-0.3827394114</v>
      </c>
    </row>
    <row r="53" ht="14.25" customHeight="1">
      <c r="A53" s="30">
        <v>34.0</v>
      </c>
      <c r="B53" s="31">
        <f t="shared" si="4"/>
        <v>8</v>
      </c>
      <c r="C53" s="31">
        <f t="shared" si="5"/>
        <v>0.6</v>
      </c>
      <c r="D53" s="31">
        <f t="shared" si="6"/>
        <v>1.379130536</v>
      </c>
      <c r="E53" s="32">
        <f t="shared" si="7"/>
        <v>0.9160727447</v>
      </c>
      <c r="F53" s="42">
        <f t="shared" si="9"/>
        <v>-0.3160727447</v>
      </c>
    </row>
    <row r="54" ht="14.25" customHeight="1">
      <c r="A54" s="35">
        <v>43.0</v>
      </c>
      <c r="B54" s="36">
        <f t="shared" si="4"/>
        <v>9</v>
      </c>
      <c r="C54" s="36">
        <f t="shared" si="5"/>
        <v>0.6666666667</v>
      </c>
      <c r="D54" s="36">
        <f t="shared" si="6"/>
        <v>1.744194501</v>
      </c>
      <c r="E54" s="37">
        <f t="shared" si="7"/>
        <v>0.95943741</v>
      </c>
      <c r="F54" s="40">
        <f t="shared" si="9"/>
        <v>-0.2927707434</v>
      </c>
    </row>
    <row r="55" ht="14.25" customHeight="1">
      <c r="A55" s="30">
        <v>45.0</v>
      </c>
      <c r="B55" s="31">
        <f t="shared" si="4"/>
        <v>10</v>
      </c>
      <c r="C55" s="31">
        <f t="shared" si="5"/>
        <v>0.7333333333</v>
      </c>
      <c r="D55" s="31">
        <f t="shared" si="6"/>
        <v>1.825319827</v>
      </c>
      <c r="E55" s="32">
        <f t="shared" si="7"/>
        <v>0.96602361</v>
      </c>
      <c r="F55" s="42">
        <f t="shared" si="9"/>
        <v>-0.2326902767</v>
      </c>
    </row>
    <row r="56" ht="14.25" customHeight="1">
      <c r="A56" s="35">
        <v>45.0</v>
      </c>
      <c r="B56" s="36">
        <f t="shared" si="4"/>
        <v>11</v>
      </c>
      <c r="C56" s="36">
        <f t="shared" si="5"/>
        <v>0.8</v>
      </c>
      <c r="D56" s="36">
        <f t="shared" si="6"/>
        <v>1.825319827</v>
      </c>
      <c r="E56" s="37">
        <f t="shared" si="7"/>
        <v>0.96602361</v>
      </c>
      <c r="F56" s="40">
        <f t="shared" si="9"/>
        <v>-0.16602361</v>
      </c>
    </row>
    <row r="57" ht="14.25" customHeight="1">
      <c r="A57" s="30">
        <v>67.0</v>
      </c>
      <c r="B57" s="31">
        <f t="shared" si="4"/>
        <v>12</v>
      </c>
      <c r="C57" s="31">
        <f t="shared" si="5"/>
        <v>0.8666666667</v>
      </c>
      <c r="D57" s="31">
        <f t="shared" si="6"/>
        <v>2.717698408</v>
      </c>
      <c r="E57" s="32">
        <f t="shared" si="7"/>
        <v>0.9967131136</v>
      </c>
      <c r="F57" s="42">
        <f t="shared" si="9"/>
        <v>-0.1300464469</v>
      </c>
    </row>
    <row r="58" ht="14.25" customHeight="1">
      <c r="A58" s="35">
        <v>67.0</v>
      </c>
      <c r="B58" s="36">
        <f t="shared" si="4"/>
        <v>13</v>
      </c>
      <c r="C58" s="36">
        <f t="shared" si="5"/>
        <v>0.9333333333</v>
      </c>
      <c r="D58" s="36">
        <f t="shared" si="6"/>
        <v>2.717698408</v>
      </c>
      <c r="E58" s="37">
        <f t="shared" si="7"/>
        <v>0.9967131136</v>
      </c>
      <c r="F58" s="40">
        <f t="shared" si="9"/>
        <v>-0.06337978024</v>
      </c>
    </row>
    <row r="59" ht="14.25" customHeight="1">
      <c r="A59" s="43">
        <v>99.0</v>
      </c>
      <c r="B59" s="44">
        <f t="shared" si="4"/>
        <v>14</v>
      </c>
      <c r="C59" s="44">
        <f t="shared" si="5"/>
        <v>0</v>
      </c>
      <c r="D59" s="44">
        <f t="shared" si="6"/>
        <v>4.015703618</v>
      </c>
      <c r="E59" s="45">
        <f t="shared" si="7"/>
        <v>0.9999703656</v>
      </c>
      <c r="F59" s="46">
        <f t="shared" si="9"/>
        <v>-0.9999703656</v>
      </c>
    </row>
    <row r="60" ht="14.25" customHeight="1">
      <c r="A60" s="23"/>
      <c r="B60" s="47"/>
      <c r="C60" s="47"/>
      <c r="D60" s="47"/>
    </row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5">
    <mergeCell ref="A1:B2"/>
    <mergeCell ref="C1:J1"/>
    <mergeCell ref="K1:K2"/>
    <mergeCell ref="A3:A8"/>
    <mergeCell ref="A9:B9"/>
  </mergeCells>
  <dataValidations>
    <dataValidation type="custom" allowBlank="1" showDropDown="1" sqref="A45:F59">
      <formula1>AND(ISNUMBER(A45),(NOT(OR(NOT(ISERROR(DATEVALUE(A45))), AND(ISNUMBER(A45), LEFT(CELL("format", A45))="D")))))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7" width="8.71"/>
    <col customWidth="1" min="8" max="8" width="99.86"/>
    <col customWidth="1" min="9" max="26" width="8.71"/>
  </cols>
  <sheetData>
    <row r="1" ht="14.25" customHeight="1">
      <c r="A1" s="48" t="s">
        <v>43</v>
      </c>
      <c r="B1" s="48" t="s">
        <v>34</v>
      </c>
      <c r="C1" s="49" t="s">
        <v>44</v>
      </c>
      <c r="D1" s="49" t="s">
        <v>45</v>
      </c>
      <c r="E1" s="50" t="s">
        <v>46</v>
      </c>
      <c r="F1" s="51" t="s">
        <v>47</v>
      </c>
      <c r="G1" s="52"/>
      <c r="H1" s="53"/>
    </row>
    <row r="2" ht="14.25" customHeight="1">
      <c r="A2" s="54">
        <v>8.0</v>
      </c>
      <c r="B2" s="55">
        <f>(A2 -G14)/G15</f>
        <v>-1.214175707</v>
      </c>
      <c r="C2" s="56" t="str">
        <f t="shared" ref="C2:C16" si="1">_xlfn.NORM.S.DIST(B2,TRUE)</f>
        <v>#N/A</v>
      </c>
      <c r="D2" s="57">
        <f>1/15</f>
        <v>0.06666666667</v>
      </c>
      <c r="E2" s="56" t="str">
        <f t="shared" ref="E2:E16" si="2">ABS(C2-D2)</f>
        <v>#N/A</v>
      </c>
      <c r="F2" s="58" t="str">
        <f>MAX(E2:E16)</f>
        <v>#N/A</v>
      </c>
      <c r="G2" s="52"/>
      <c r="H2" s="53"/>
    </row>
    <row r="3" ht="14.25" customHeight="1">
      <c r="A3" s="54">
        <v>11.0</v>
      </c>
      <c r="B3" s="55">
        <f>(A3 -G14)/G15</f>
        <v>-1.092487718</v>
      </c>
      <c r="C3" s="56" t="str">
        <f t="shared" si="1"/>
        <v>#N/A</v>
      </c>
      <c r="D3" s="57">
        <f>2/15</f>
        <v>0.1333333333</v>
      </c>
      <c r="E3" s="56" t="str">
        <f t="shared" si="2"/>
        <v>#N/A</v>
      </c>
      <c r="F3" s="52"/>
      <c r="G3" s="52"/>
      <c r="H3" s="53"/>
    </row>
    <row r="4" ht="14.25" customHeight="1">
      <c r="A4" s="54">
        <v>12.0</v>
      </c>
      <c r="B4" s="55">
        <f>(A4 -G14)/G15</f>
        <v>-1.051925056</v>
      </c>
      <c r="C4" s="56" t="str">
        <f t="shared" si="1"/>
        <v>#N/A</v>
      </c>
      <c r="D4" s="57">
        <f>3/15</f>
        <v>0.2</v>
      </c>
      <c r="E4" s="56" t="str">
        <f t="shared" si="2"/>
        <v>#N/A</v>
      </c>
      <c r="F4" s="52"/>
      <c r="G4" s="52"/>
      <c r="H4" s="53"/>
    </row>
    <row r="5" ht="14.25" customHeight="1">
      <c r="A5" s="54">
        <v>22.0</v>
      </c>
      <c r="B5" s="55">
        <f>(A5 -G14)/G15</f>
        <v>-0.6462984275</v>
      </c>
      <c r="C5" s="56" t="str">
        <f t="shared" si="1"/>
        <v>#N/A</v>
      </c>
      <c r="D5" s="57">
        <f>4/15</f>
        <v>0.2666666667</v>
      </c>
      <c r="E5" s="56" t="str">
        <f t="shared" si="2"/>
        <v>#N/A</v>
      </c>
      <c r="F5" s="52"/>
      <c r="G5" s="52"/>
      <c r="H5" s="59" t="s">
        <v>48</v>
      </c>
    </row>
    <row r="6" ht="14.25" customHeight="1">
      <c r="A6" s="54">
        <v>24.0</v>
      </c>
      <c r="B6" s="55">
        <f>(A6 -G14)/G15</f>
        <v>-0.5651731018</v>
      </c>
      <c r="C6" s="56" t="str">
        <f t="shared" si="1"/>
        <v>#N/A</v>
      </c>
      <c r="D6" s="57">
        <f>5/15</f>
        <v>0.3333333333</v>
      </c>
      <c r="E6" s="56" t="str">
        <f t="shared" si="2"/>
        <v>#N/A</v>
      </c>
      <c r="F6" s="52"/>
      <c r="G6" s="52"/>
      <c r="H6" s="53" t="s">
        <v>49</v>
      </c>
    </row>
    <row r="7" ht="14.25" customHeight="1">
      <c r="A7" s="54">
        <v>25.0</v>
      </c>
      <c r="B7" s="55">
        <f>(A7 -G14)/G15</f>
        <v>-0.524610439</v>
      </c>
      <c r="C7" s="56" t="str">
        <f t="shared" si="1"/>
        <v>#N/A</v>
      </c>
      <c r="D7" s="57">
        <f>6/15</f>
        <v>0.4</v>
      </c>
      <c r="E7" s="56" t="str">
        <f t="shared" si="2"/>
        <v>#N/A</v>
      </c>
      <c r="F7" s="52"/>
      <c r="G7" s="52"/>
      <c r="H7" s="53"/>
    </row>
    <row r="8" ht="14.25" customHeight="1">
      <c r="A8" s="54">
        <v>33.0</v>
      </c>
      <c r="B8" s="55">
        <f>(A8 -G14)/G15</f>
        <v>-0.2001091365</v>
      </c>
      <c r="C8" s="56" t="str">
        <f t="shared" si="1"/>
        <v>#N/A</v>
      </c>
      <c r="D8" s="57">
        <f>7/15</f>
        <v>0.4666666667</v>
      </c>
      <c r="E8" s="56" t="str">
        <f t="shared" si="2"/>
        <v>#N/A</v>
      </c>
      <c r="F8" s="52"/>
      <c r="G8" s="52"/>
      <c r="H8" s="53"/>
    </row>
    <row r="9" ht="14.25" customHeight="1">
      <c r="A9" s="54">
        <v>34.0</v>
      </c>
      <c r="B9" s="55">
        <f>(A9 -G14)/G15</f>
        <v>-0.1595464737</v>
      </c>
      <c r="C9" s="56" t="str">
        <f t="shared" si="1"/>
        <v>#N/A</v>
      </c>
      <c r="D9" s="57">
        <f>8/15</f>
        <v>0.5333333333</v>
      </c>
      <c r="E9" s="56" t="str">
        <f t="shared" si="2"/>
        <v>#N/A</v>
      </c>
      <c r="F9" s="52"/>
      <c r="G9" s="52"/>
      <c r="H9" s="53"/>
    </row>
    <row r="10" ht="14.25" customHeight="1">
      <c r="A10" s="54">
        <v>34.0</v>
      </c>
      <c r="B10" s="55">
        <f>(A10 -G14)/G15</f>
        <v>-0.1595464737</v>
      </c>
      <c r="C10" s="56" t="str">
        <f t="shared" si="1"/>
        <v>#N/A</v>
      </c>
      <c r="D10" s="57">
        <f>9/15</f>
        <v>0.6</v>
      </c>
      <c r="E10" s="56" t="str">
        <f t="shared" si="2"/>
        <v>#N/A</v>
      </c>
      <c r="F10" s="60"/>
      <c r="G10" s="52"/>
      <c r="H10" s="53"/>
    </row>
    <row r="11" ht="14.25" customHeight="1">
      <c r="A11" s="54">
        <v>43.0</v>
      </c>
      <c r="B11" s="55">
        <f>(A11 -G14)/G15</f>
        <v>0.2055174916</v>
      </c>
      <c r="C11" s="56" t="str">
        <f t="shared" si="1"/>
        <v>#N/A</v>
      </c>
      <c r="D11" s="57">
        <f>10/15</f>
        <v>0.6666666667</v>
      </c>
      <c r="E11" s="56" t="str">
        <f t="shared" si="2"/>
        <v>#N/A</v>
      </c>
      <c r="F11" s="52"/>
      <c r="G11" s="52"/>
      <c r="H11" s="53"/>
    </row>
    <row r="12" ht="14.25" customHeight="1">
      <c r="A12" s="54">
        <v>45.0</v>
      </c>
      <c r="B12" s="55">
        <f>(A12 -G14)/G15</f>
        <v>0.2866428172</v>
      </c>
      <c r="C12" s="56" t="str">
        <f t="shared" si="1"/>
        <v>#N/A</v>
      </c>
      <c r="D12" s="57">
        <f>11/15</f>
        <v>0.7333333333</v>
      </c>
      <c r="E12" s="56" t="str">
        <f t="shared" si="2"/>
        <v>#N/A</v>
      </c>
      <c r="F12" s="52"/>
      <c r="G12" s="52"/>
      <c r="H12" s="53"/>
    </row>
    <row r="13" ht="14.25" customHeight="1">
      <c r="A13" s="54">
        <v>45.0</v>
      </c>
      <c r="B13" s="55">
        <f>(A13 -G14)/G15</f>
        <v>0.2866428172</v>
      </c>
      <c r="C13" s="56" t="str">
        <f t="shared" si="1"/>
        <v>#N/A</v>
      </c>
      <c r="D13" s="57">
        <f>12/15</f>
        <v>0.8</v>
      </c>
      <c r="E13" s="56" t="str">
        <f t="shared" si="2"/>
        <v>#N/A</v>
      </c>
      <c r="F13" s="52"/>
      <c r="G13" s="52"/>
      <c r="H13" s="53"/>
    </row>
    <row r="14" ht="14.25" customHeight="1">
      <c r="A14" s="54">
        <v>67.0</v>
      </c>
      <c r="B14" s="55">
        <f>(A14 -G14)/G15</f>
        <v>1.179021399</v>
      </c>
      <c r="C14" s="56" t="str">
        <f t="shared" si="1"/>
        <v>#N/A</v>
      </c>
      <c r="D14" s="57">
        <f>13/15</f>
        <v>0.8666666667</v>
      </c>
      <c r="E14" s="56" t="str">
        <f t="shared" si="2"/>
        <v>#N/A</v>
      </c>
      <c r="F14" s="60" t="s">
        <v>50</v>
      </c>
      <c r="G14" s="60">
        <f>AVERAGE(A2:A16)</f>
        <v>37.93333333</v>
      </c>
      <c r="H14" s="53"/>
    </row>
    <row r="15" ht="14.25" customHeight="1">
      <c r="A15" s="54">
        <v>67.0</v>
      </c>
      <c r="B15" s="55">
        <f>(A15 -G14)/G15</f>
        <v>1.179021399</v>
      </c>
      <c r="C15" s="56" t="str">
        <f t="shared" si="1"/>
        <v>#N/A</v>
      </c>
      <c r="D15" s="57">
        <f>14/15</f>
        <v>0.9333333333</v>
      </c>
      <c r="E15" s="56" t="str">
        <f t="shared" si="2"/>
        <v>#N/A</v>
      </c>
      <c r="F15" s="60" t="s">
        <v>51</v>
      </c>
      <c r="G15" s="60">
        <f>STDEV(A2:A16)</f>
        <v>24.65321383</v>
      </c>
      <c r="H15" s="53"/>
    </row>
    <row r="16" ht="14.25" customHeight="1">
      <c r="A16" s="54">
        <v>99.0</v>
      </c>
      <c r="B16" s="55">
        <f>(A16 -G14)/G15</f>
        <v>2.477026609</v>
      </c>
      <c r="C16" s="56" t="str">
        <f t="shared" si="1"/>
        <v>#N/A</v>
      </c>
      <c r="D16" s="57">
        <f>15/15</f>
        <v>1</v>
      </c>
      <c r="E16" s="56" t="str">
        <f t="shared" si="2"/>
        <v>#N/A</v>
      </c>
      <c r="F16" s="52"/>
      <c r="G16" s="52"/>
      <c r="H16" s="53"/>
    </row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