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afirafi/Downloads/"/>
    </mc:Choice>
  </mc:AlternateContent>
  <xr:revisionPtr revIDLastSave="0" documentId="8_{EB6322B0-20A8-A04D-9EFD-C19FF8E24607}" xr6:coauthVersionLast="47" xr6:coauthVersionMax="47" xr10:uidLastSave="{00000000-0000-0000-0000-000000000000}"/>
  <bookViews>
    <workbookView xWindow="2260" yWindow="880" windowWidth="24460" windowHeight="16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D27" i="1"/>
  <c r="D26" i="1"/>
  <c r="D25" i="1"/>
  <c r="F12" i="1"/>
  <c r="F11" i="1"/>
  <c r="F9" i="1"/>
  <c r="F6" i="1"/>
  <c r="F8" i="1"/>
  <c r="F7" i="1"/>
  <c r="F4" i="1"/>
</calcChain>
</file>

<file path=xl/sharedStrings.xml><?xml version="1.0" encoding="utf-8"?>
<sst xmlns="http://schemas.openxmlformats.org/spreadsheetml/2006/main" count="27" uniqueCount="27">
  <si>
    <t>Volume</t>
  </si>
  <si>
    <t>n</t>
  </si>
  <si>
    <t>mu</t>
  </si>
  <si>
    <t>df</t>
  </si>
  <si>
    <t>mean</t>
  </si>
  <si>
    <t>Std.Dev</t>
  </si>
  <si>
    <t>Derajat Keparcayaan</t>
  </si>
  <si>
    <t>Alpha</t>
  </si>
  <si>
    <t>T Hitung</t>
  </si>
  <si>
    <t>H₀ (null): μ = 10 → Rata-rata populasi volume kaleng cat adalah 10</t>
  </si>
  <si>
    <t>H₁ (alternatif): μ ≠ 10 → Rata-rata populasi volume kaleng cat tidak sama dengan 10</t>
  </si>
  <si>
    <r>
      <t xml:space="preserve">Diperoleh Mean dengan nilai 9,8375. Karena nilai t hitung &lt; t tabel, maka </t>
    </r>
    <r>
      <rPr>
        <b/>
        <sz val="11"/>
        <color theme="1"/>
        <rFont val="Calibri"/>
        <family val="2"/>
        <scheme val="minor"/>
      </rPr>
      <t>gagal tolak H₀</t>
    </r>
    <r>
      <rPr>
        <sz val="11"/>
        <color theme="1"/>
        <rFont val="Calibri"/>
        <family val="2"/>
        <scheme val="minor"/>
      </rPr>
      <t xml:space="preserve">, sehingga tidak cukup bukti untuk menyatakan bahwa rata-rata volume kaleng cat </t>
    </r>
    <r>
      <rPr>
        <b/>
        <sz val="11"/>
        <color theme="1"/>
        <rFont val="Calibri"/>
        <family val="2"/>
        <scheme val="minor"/>
      </rPr>
      <t>berbeda</t>
    </r>
    <r>
      <rPr>
        <sz val="11"/>
        <color theme="1"/>
        <rFont val="Calibri"/>
        <family val="2"/>
        <scheme val="minor"/>
      </rPr>
      <t xml:space="preserve"> dari 10.</t>
    </r>
  </si>
  <si>
    <t>Muhammad Rafi</t>
  </si>
  <si>
    <t>T Kritis</t>
  </si>
  <si>
    <t>65002200043</t>
  </si>
  <si>
    <t>Rata2 S</t>
  </si>
  <si>
    <t>Std Dev</t>
  </si>
  <si>
    <t>N</t>
  </si>
  <si>
    <t>H0</t>
  </si>
  <si>
    <t xml:space="preserve">Nilai T </t>
  </si>
  <si>
    <t>p-value</t>
  </si>
  <si>
    <t>H0: μ = 14500</t>
  </si>
  <si>
    <t>H1: μ ≠ 14500</t>
  </si>
  <si>
    <t>Taraf Nyata (α): 0,05</t>
  </si>
  <si>
    <t>Karena p-value = 0,0528 &gt; 0,05, maka gagal tolak H0.</t>
  </si>
  <si>
    <t>Dengan taraf nyata 5%, tidak ada cukup bukti untuk menyatakan bahwa rata-rata penghasilan anak jalanan berbeda dari Rp 14.500 per hari seperti yang diklaim oleh preman Grogol.</t>
  </si>
  <si>
    <t>Artinya, klaim preman Grogol masih dapat diterima berdasarkan data yang 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</si>
</sst>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quotePrefix="1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18" workbookViewId="0">
      <selection activeCell="G39" sqref="G39"/>
    </sheetView>
  </sheetViews>
  <sheetFormatPr baseColWidth="10" defaultColWidth="14.5" defaultRowHeight="15" customHeight="1" x14ac:dyDescent="0.2"/>
  <cols>
    <col min="1" max="26" width="8.6640625" customWidth="1"/>
  </cols>
  <sheetData>
    <row r="1" spans="1:9" ht="14.25" customHeight="1" x14ac:dyDescent="0.2">
      <c r="A1" s="1" t="s">
        <v>0</v>
      </c>
    </row>
    <row r="2" spans="1:9" ht="14.25" customHeight="1" x14ac:dyDescent="0.2">
      <c r="A2" s="2">
        <v>9.5</v>
      </c>
    </row>
    <row r="3" spans="1:9" ht="14.25" customHeight="1" thickBot="1" x14ac:dyDescent="0.25">
      <c r="A3" s="2">
        <v>10.1</v>
      </c>
    </row>
    <row r="4" spans="1:9" ht="14.25" customHeight="1" thickBot="1" x14ac:dyDescent="0.25">
      <c r="A4" s="2">
        <v>10.199999999999999</v>
      </c>
      <c r="D4" s="3" t="s">
        <v>1</v>
      </c>
      <c r="F4" s="3">
        <f>COUNT(A2:A9)</f>
        <v>8</v>
      </c>
    </row>
    <row r="5" spans="1:9" ht="14.25" customHeight="1" thickBot="1" x14ac:dyDescent="0.25">
      <c r="A5" s="2">
        <v>9.8000000000000007</v>
      </c>
      <c r="D5" s="3" t="s">
        <v>2</v>
      </c>
      <c r="F5">
        <v>10</v>
      </c>
      <c r="I5" s="3" t="s">
        <v>12</v>
      </c>
    </row>
    <row r="6" spans="1:9" ht="14.25" customHeight="1" thickBot="1" x14ac:dyDescent="0.25">
      <c r="A6" s="2">
        <v>10.3</v>
      </c>
      <c r="D6" s="3" t="s">
        <v>3</v>
      </c>
      <c r="F6" s="3">
        <f>COUNT(A2:A9)-1</f>
        <v>7</v>
      </c>
      <c r="I6" s="4" t="s">
        <v>14</v>
      </c>
    </row>
    <row r="7" spans="1:9" ht="14.25" customHeight="1" thickBot="1" x14ac:dyDescent="0.25">
      <c r="A7" s="2">
        <v>10.5</v>
      </c>
      <c r="D7" s="3" t="s">
        <v>4</v>
      </c>
      <c r="F7" s="3">
        <f>AVERAGE(A2:A9)</f>
        <v>9.8375000000000004</v>
      </c>
    </row>
    <row r="8" spans="1:9" ht="14.25" customHeight="1" thickBot="1" x14ac:dyDescent="0.25">
      <c r="A8" s="2">
        <v>9.5</v>
      </c>
      <c r="D8" s="3" t="s">
        <v>5</v>
      </c>
      <c r="F8" s="3">
        <f>_xlfn.STDEV.S(A2:A9)</f>
        <v>0.55533130394644326</v>
      </c>
    </row>
    <row r="9" spans="1:9" ht="14.25" customHeight="1" thickBot="1" x14ac:dyDescent="0.25">
      <c r="A9" s="2">
        <v>8.8000000000000007</v>
      </c>
      <c r="D9" s="3" t="s">
        <v>6</v>
      </c>
      <c r="F9">
        <f>1 - F10</f>
        <v>0.95</v>
      </c>
    </row>
    <row r="10" spans="1:9" ht="14.25" customHeight="1" x14ac:dyDescent="0.2">
      <c r="D10" s="3" t="s">
        <v>7</v>
      </c>
      <c r="F10">
        <v>0.05</v>
      </c>
    </row>
    <row r="11" spans="1:9" ht="14.25" customHeight="1" x14ac:dyDescent="0.2">
      <c r="D11" s="3" t="s">
        <v>8</v>
      </c>
      <c r="F11">
        <f xml:space="preserve"> (AVERAGE(A2:A9) - 10) / (_xlfn.STDEV.S(A2:A9) / SQRT(COUNT(A2:A9)))</f>
        <v>-0.82764901691113935</v>
      </c>
    </row>
    <row r="12" spans="1:9" ht="14.25" customHeight="1" x14ac:dyDescent="0.2">
      <c r="D12" s="3" t="s">
        <v>13</v>
      </c>
      <c r="F12" s="4">
        <f>_xlfn.T.INV.2T(F10, F4-1)</f>
        <v>2.3646242515927849</v>
      </c>
    </row>
    <row r="13" spans="1:9" ht="14.25" customHeight="1" x14ac:dyDescent="0.2"/>
    <row r="14" spans="1:9" ht="14.25" customHeight="1" x14ac:dyDescent="0.2"/>
    <row r="15" spans="1:9" ht="14.25" customHeight="1" x14ac:dyDescent="0.2">
      <c r="C15" s="3" t="s">
        <v>9</v>
      </c>
    </row>
    <row r="16" spans="1:9" ht="14.25" customHeight="1" x14ac:dyDescent="0.2">
      <c r="C16" s="3" t="s">
        <v>10</v>
      </c>
    </row>
    <row r="17" spans="1:10" ht="14.25" customHeight="1" x14ac:dyDescent="0.2"/>
    <row r="18" spans="1:10" ht="14.25" customHeight="1" x14ac:dyDescent="0.2">
      <c r="C18" s="3" t="s">
        <v>11</v>
      </c>
    </row>
    <row r="19" spans="1:10" ht="14.25" customHeight="1" x14ac:dyDescent="0.2"/>
    <row r="20" spans="1:10" ht="14.25" customHeight="1" x14ac:dyDescent="0.2"/>
    <row r="21" spans="1:10" ht="14.25" customHeight="1" x14ac:dyDescent="0.2"/>
    <row r="22" spans="1:10" ht="14.25" customHeight="1" x14ac:dyDescent="0.2"/>
    <row r="23" spans="1:10" ht="14.25" customHeight="1" x14ac:dyDescent="0.2"/>
    <row r="24" spans="1:10" ht="14.25" customHeight="1" x14ac:dyDescent="0.2"/>
    <row r="25" spans="1:10" ht="14.25" customHeight="1" x14ac:dyDescent="0.2">
      <c r="A25" s="5">
        <v>15000</v>
      </c>
      <c r="B25" s="5"/>
      <c r="C25" s="5" t="s">
        <v>15</v>
      </c>
      <c r="D25" s="3">
        <f>AVERAGE(A24:A34)</f>
        <v>15300</v>
      </c>
      <c r="E25" s="5"/>
      <c r="F25" s="5"/>
      <c r="G25" s="5"/>
      <c r="H25" s="5"/>
      <c r="I25" s="5"/>
      <c r="J25" s="5"/>
    </row>
    <row r="26" spans="1:10" ht="14.25" customHeight="1" x14ac:dyDescent="0.2">
      <c r="A26">
        <v>15500</v>
      </c>
      <c r="C26" s="3" t="s">
        <v>16</v>
      </c>
      <c r="D26">
        <f>_xlfn.STDEV.S(A24:A34)</f>
        <v>1135.2924243950933</v>
      </c>
    </row>
    <row r="27" spans="1:10" ht="14.25" customHeight="1" x14ac:dyDescent="0.2">
      <c r="A27">
        <v>17500</v>
      </c>
      <c r="C27" s="3" t="s">
        <v>17</v>
      </c>
      <c r="D27" s="3">
        <f>COUNT(A24:A34)</f>
        <v>10</v>
      </c>
    </row>
    <row r="28" spans="1:10" ht="14.25" customHeight="1" x14ac:dyDescent="0.2">
      <c r="A28">
        <v>14500</v>
      </c>
      <c r="C28" s="3" t="s">
        <v>18</v>
      </c>
      <c r="D28">
        <f>14500</f>
        <v>14500</v>
      </c>
    </row>
    <row r="29" spans="1:10" ht="14.25" customHeight="1" x14ac:dyDescent="0.2">
      <c r="A29">
        <v>14000</v>
      </c>
      <c r="C29" s="3" t="s">
        <v>19</v>
      </c>
      <c r="D29" s="3">
        <f>(D25 - D28) / (D26 / SQRT(D27))</f>
        <v>2.2283440581246228</v>
      </c>
    </row>
    <row r="30" spans="1:10" ht="14.25" customHeight="1" x14ac:dyDescent="0.2">
      <c r="A30">
        <v>16000</v>
      </c>
      <c r="C30" s="3" t="s">
        <v>20</v>
      </c>
      <c r="D30" s="3">
        <f>_xlfn.T.DIST.2T(ABS(D29), D27 - 1)</f>
        <v>5.2839446517070378E-2</v>
      </c>
    </row>
    <row r="31" spans="1:10" ht="14.25" customHeight="1" x14ac:dyDescent="0.2">
      <c r="A31">
        <v>14500</v>
      </c>
      <c r="C31" s="3" t="s">
        <v>23</v>
      </c>
    </row>
    <row r="32" spans="1:10" ht="14.25" customHeight="1" x14ac:dyDescent="0.2">
      <c r="A32">
        <v>15500</v>
      </c>
    </row>
    <row r="33" spans="1:5" ht="14.25" customHeight="1" x14ac:dyDescent="0.2">
      <c r="A33">
        <v>16500</v>
      </c>
      <c r="C33" s="3" t="s">
        <v>21</v>
      </c>
      <c r="E33" s="3" t="s">
        <v>24</v>
      </c>
    </row>
    <row r="34" spans="1:5" ht="14.25" customHeight="1" x14ac:dyDescent="0.2">
      <c r="A34">
        <v>14000</v>
      </c>
    </row>
    <row r="35" spans="1:5" ht="14.25" customHeight="1" x14ac:dyDescent="0.2">
      <c r="C35" s="3" t="s">
        <v>22</v>
      </c>
      <c r="E35" s="3" t="s">
        <v>25</v>
      </c>
    </row>
    <row r="36" spans="1:5" ht="14.25" customHeight="1" x14ac:dyDescent="0.2">
      <c r="E36" s="3" t="s">
        <v>26</v>
      </c>
    </row>
    <row r="37" spans="1:5" ht="14.25" customHeight="1" x14ac:dyDescent="0.2"/>
    <row r="38" spans="1:5" ht="14.25" customHeight="1" x14ac:dyDescent="0.2"/>
    <row r="39" spans="1:5" ht="14.25" customHeight="1" x14ac:dyDescent="0.2"/>
    <row r="40" spans="1:5" ht="14.25" customHeight="1" x14ac:dyDescent="0.2"/>
    <row r="41" spans="1:5" ht="14.25" customHeight="1" x14ac:dyDescent="0.2"/>
    <row r="42" spans="1:5" ht="14.25" customHeight="1" x14ac:dyDescent="0.2"/>
    <row r="43" spans="1:5" ht="14.25" customHeight="1" x14ac:dyDescent="0.2"/>
    <row r="44" spans="1:5" ht="14.25" customHeight="1" x14ac:dyDescent="0.2"/>
    <row r="45" spans="1:5" ht="14.25" customHeight="1" x14ac:dyDescent="0.2"/>
    <row r="46" spans="1:5" ht="14.25" customHeight="1" x14ac:dyDescent="0.2"/>
    <row r="47" spans="1:5" ht="14.25" customHeight="1" x14ac:dyDescent="0.2"/>
    <row r="48" spans="1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office9227</cp:lastModifiedBy>
  <dcterms:created xsi:type="dcterms:W3CDTF">2025-05-20T01:42:44Z</dcterms:created>
  <dcterms:modified xsi:type="dcterms:W3CDTF">2025-05-20T01:42:44Z</dcterms:modified>
</cp:coreProperties>
</file>